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eu Drive\04 - UDESC\03 - Turmas\05 - 2026S1\"/>
    </mc:Choice>
  </mc:AlternateContent>
  <xr:revisionPtr revIDLastSave="0" documentId="8_{7B64FA94-25ED-477D-BA6F-5BBB715CC4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ostas ao formulário 1" sheetId="1" r:id="rId1"/>
    <sheet name="Cotações" sheetId="3" r:id="rId2"/>
  </sheets>
  <definedNames>
    <definedName name="_xlnm._FilterDatabase" localSheetId="1" hidden="1">Cotações!$A$1:$B$997</definedName>
    <definedName name="_xlnm._FilterDatabase" localSheetId="0" hidden="1">'Respostas ao formulário 1'!$A$1:$AB$11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Po77zRvQfKaYPfBHRzPmH3YwcGQCKokZHSRTN7YQf10="/>
    </ext>
  </extLst>
</workbook>
</file>

<file path=xl/calcChain.xml><?xml version="1.0" encoding="utf-8"?>
<calcChain xmlns="http://schemas.openxmlformats.org/spreadsheetml/2006/main">
  <c r="Y3" i="1" l="1"/>
  <c r="X3" i="1"/>
  <c r="Y7" i="1"/>
  <c r="Z7" i="1" s="1"/>
  <c r="X7" i="1"/>
  <c r="Y4" i="1"/>
  <c r="X4" i="1"/>
  <c r="Z4" i="1" s="1"/>
  <c r="Y6" i="1"/>
  <c r="X6" i="1"/>
  <c r="Y11" i="1"/>
  <c r="X11" i="1"/>
  <c r="Y2" i="1"/>
  <c r="Z2" i="1" s="1"/>
  <c r="X2" i="1"/>
  <c r="Y10" i="1"/>
  <c r="X10" i="1"/>
  <c r="Y8" i="1"/>
  <c r="X8" i="1"/>
  <c r="Y5" i="1"/>
  <c r="X5" i="1"/>
  <c r="Y9" i="1"/>
  <c r="Z9" i="1" s="1"/>
  <c r="X9" i="1"/>
  <c r="T3" i="1"/>
  <c r="S3" i="1"/>
  <c r="T7" i="1"/>
  <c r="S7" i="1"/>
  <c r="T4" i="1"/>
  <c r="S4" i="1"/>
  <c r="T6" i="1"/>
  <c r="U6" i="1" s="1"/>
  <c r="S6" i="1"/>
  <c r="T11" i="1"/>
  <c r="U11" i="1" s="1"/>
  <c r="S11" i="1"/>
  <c r="T2" i="1"/>
  <c r="U2" i="1" s="1"/>
  <c r="S2" i="1"/>
  <c r="T10" i="1"/>
  <c r="S10" i="1"/>
  <c r="T8" i="1"/>
  <c r="U8" i="1" s="1"/>
  <c r="S8" i="1"/>
  <c r="T5" i="1"/>
  <c r="U5" i="1" s="1"/>
  <c r="S5" i="1"/>
  <c r="U9" i="1"/>
  <c r="T9" i="1"/>
  <c r="S9" i="1"/>
  <c r="O3" i="1"/>
  <c r="N3" i="1"/>
  <c r="P3" i="1" s="1"/>
  <c r="O7" i="1"/>
  <c r="N7" i="1"/>
  <c r="O4" i="1"/>
  <c r="N4" i="1"/>
  <c r="O6" i="1"/>
  <c r="N6" i="1"/>
  <c r="O11" i="1"/>
  <c r="N11" i="1"/>
  <c r="O2" i="1"/>
  <c r="N2" i="1"/>
  <c r="O10" i="1"/>
  <c r="N10" i="1"/>
  <c r="O8" i="1"/>
  <c r="N8" i="1"/>
  <c r="O5" i="1"/>
  <c r="N5" i="1"/>
  <c r="P5" i="1" s="1"/>
  <c r="O9" i="1"/>
  <c r="N9" i="1"/>
  <c r="J3" i="1"/>
  <c r="I3" i="1"/>
  <c r="J7" i="1"/>
  <c r="K7" i="1" s="1"/>
  <c r="I7" i="1"/>
  <c r="J4" i="1"/>
  <c r="I4" i="1"/>
  <c r="J6" i="1"/>
  <c r="I6" i="1"/>
  <c r="J11" i="1"/>
  <c r="I11" i="1"/>
  <c r="J2" i="1"/>
  <c r="I2" i="1"/>
  <c r="J10" i="1"/>
  <c r="I10" i="1"/>
  <c r="J8" i="1"/>
  <c r="I8" i="1"/>
  <c r="J5" i="1"/>
  <c r="I5" i="1"/>
  <c r="J9" i="1"/>
  <c r="K9" i="1" s="1"/>
  <c r="I9" i="1"/>
  <c r="D9" i="1"/>
  <c r="E9" i="1"/>
  <c r="D5" i="1"/>
  <c r="E5" i="1"/>
  <c r="D8" i="1"/>
  <c r="E8" i="1"/>
  <c r="D10" i="1"/>
  <c r="E10" i="1"/>
  <c r="D2" i="1"/>
  <c r="E2" i="1"/>
  <c r="D11" i="1"/>
  <c r="E11" i="1"/>
  <c r="D6" i="1"/>
  <c r="E6" i="1"/>
  <c r="D4" i="1"/>
  <c r="E4" i="1"/>
  <c r="D7" i="1"/>
  <c r="E7" i="1"/>
  <c r="D3" i="1"/>
  <c r="E3" i="1"/>
  <c r="B12" i="3"/>
  <c r="B8" i="3"/>
  <c r="B6" i="3"/>
  <c r="B17" i="3"/>
  <c r="B14" i="3"/>
  <c r="B19" i="3"/>
  <c r="B20" i="3"/>
  <c r="B4" i="3"/>
  <c r="B3" i="3"/>
  <c r="B10" i="3"/>
  <c r="B9" i="3"/>
  <c r="B25" i="3"/>
  <c r="B21" i="3"/>
  <c r="B18" i="3"/>
  <c r="B26" i="3"/>
  <c r="B27" i="3"/>
  <c r="B7" i="3"/>
  <c r="B16" i="3"/>
  <c r="B5" i="3"/>
  <c r="B13" i="3"/>
  <c r="B11" i="3"/>
  <c r="B2" i="3"/>
  <c r="B29" i="3"/>
  <c r="B15" i="3"/>
  <c r="B24" i="3"/>
  <c r="B28" i="3"/>
  <c r="B23" i="3"/>
  <c r="B22" i="3"/>
  <c r="U7" i="1" l="1"/>
  <c r="K5" i="1"/>
  <c r="U3" i="1"/>
  <c r="K8" i="1"/>
  <c r="K6" i="1"/>
  <c r="K10" i="1"/>
  <c r="F10" i="1"/>
  <c r="U4" i="1"/>
  <c r="Z10" i="1"/>
  <c r="K2" i="1"/>
  <c r="U10" i="1"/>
  <c r="AB10" i="1" s="1"/>
  <c r="P11" i="1"/>
  <c r="K11" i="1"/>
  <c r="P8" i="1"/>
  <c r="P6" i="1"/>
  <c r="K3" i="1"/>
  <c r="P4" i="1"/>
  <c r="Z5" i="1"/>
  <c r="Z11" i="1"/>
  <c r="Z3" i="1"/>
  <c r="K4" i="1"/>
  <c r="P9" i="1"/>
  <c r="P2" i="1"/>
  <c r="P7" i="1"/>
  <c r="Z8" i="1"/>
  <c r="Z6" i="1"/>
  <c r="F8" i="1"/>
  <c r="F2" i="1"/>
  <c r="F9" i="1"/>
  <c r="F4" i="1"/>
  <c r="F7" i="1"/>
  <c r="F5" i="1"/>
  <c r="F6" i="1"/>
  <c r="F3" i="1"/>
  <c r="F11" i="1"/>
  <c r="C33" i="3"/>
  <c r="AB11" i="1" l="1"/>
  <c r="AB3" i="1"/>
  <c r="AB8" i="1"/>
  <c r="AB9" i="1"/>
  <c r="AB4" i="1"/>
  <c r="AB6" i="1"/>
  <c r="AB5" i="1"/>
  <c r="AB7" i="1"/>
  <c r="AB2" i="1"/>
</calcChain>
</file>

<file path=xl/sharedStrings.xml><?xml version="1.0" encoding="utf-8"?>
<sst xmlns="http://schemas.openxmlformats.org/spreadsheetml/2006/main" count="138" uniqueCount="84">
  <si>
    <t>Carimbo de data/hora</t>
  </si>
  <si>
    <t>Nome completo:</t>
  </si>
  <si>
    <t>Ação 01:</t>
  </si>
  <si>
    <t>retorno</t>
  </si>
  <si>
    <t>Peso ação 01:</t>
  </si>
  <si>
    <t>Ação 02:</t>
  </si>
  <si>
    <t>Peso ação 02:</t>
  </si>
  <si>
    <t>Ação 03:</t>
  </si>
  <si>
    <t>Peso ação 03:</t>
  </si>
  <si>
    <t>Ação 04:</t>
  </si>
  <si>
    <t>Peso ação 04:</t>
  </si>
  <si>
    <t>Ação 05:</t>
  </si>
  <si>
    <t>Peso ação 05:</t>
  </si>
  <si>
    <t>BBAS3</t>
  </si>
  <si>
    <t>ITUB4</t>
  </si>
  <si>
    <t>VALE3</t>
  </si>
  <si>
    <t>PETR4</t>
  </si>
  <si>
    <t>ABEV3</t>
  </si>
  <si>
    <t>WEGE3</t>
  </si>
  <si>
    <t>LREN3</t>
  </si>
  <si>
    <t>PETR3</t>
  </si>
  <si>
    <t>ITSA4</t>
  </si>
  <si>
    <t>Papel</t>
  </si>
  <si>
    <t>RECV3</t>
  </si>
  <si>
    <t>PRIO3</t>
  </si>
  <si>
    <t>Ticker</t>
  </si>
  <si>
    <t>ABEV3.SA</t>
  </si>
  <si>
    <t>BBAS3.SA</t>
  </si>
  <si>
    <t>ITSA4.SA</t>
  </si>
  <si>
    <t>ITUB4.SA</t>
  </si>
  <si>
    <t>LREN3.SA</t>
  </si>
  <si>
    <t>PETR3.SA</t>
  </si>
  <si>
    <t>PETR4.SA</t>
  </si>
  <si>
    <t>PRIO3.SA</t>
  </si>
  <si>
    <t>RECV3.SA</t>
  </si>
  <si>
    <t>VALE3.SA</t>
  </si>
  <si>
    <t>WEGE3.SA</t>
  </si>
  <si>
    <t>Retorno médio ponderado</t>
  </si>
  <si>
    <t>Ana Paula Schultze</t>
  </si>
  <si>
    <t>Helena Pallar</t>
  </si>
  <si>
    <t>Beatriz Soares Pereira</t>
  </si>
  <si>
    <t>Vitor Otávio Francener</t>
  </si>
  <si>
    <t>Fernanda Alves de Oliveira</t>
  </si>
  <si>
    <t>Letícia Bonatti</t>
  </si>
  <si>
    <t>Marina Peters Ruiz</t>
  </si>
  <si>
    <t>Larissa Salah verplohz</t>
  </si>
  <si>
    <t>Josué Braga Franco</t>
  </si>
  <si>
    <t>Rodrigo Alberto Farah</t>
  </si>
  <si>
    <t>EMBJ3</t>
  </si>
  <si>
    <t>HAPV3</t>
  </si>
  <si>
    <t>TUPY3</t>
  </si>
  <si>
    <t>TAEE11</t>
  </si>
  <si>
    <t>BPAC11</t>
  </si>
  <si>
    <t>CPLE3</t>
  </si>
  <si>
    <t>EGIE3</t>
  </si>
  <si>
    <t>AXIA3</t>
  </si>
  <si>
    <t>B3SA3</t>
  </si>
  <si>
    <t>MGLU3</t>
  </si>
  <si>
    <t>INTB3</t>
  </si>
  <si>
    <t>KLBN11</t>
  </si>
  <si>
    <t>BBSE3</t>
  </si>
  <si>
    <t>CEAB3</t>
  </si>
  <si>
    <t>RENT3</t>
  </si>
  <si>
    <t>NTCO3</t>
  </si>
  <si>
    <t>GGBR4</t>
  </si>
  <si>
    <t xml:space="preserve">PETR4.SA', 'PRIO3.SA', 'VALE3.SA', 'RECV3.SA', 'ITSA4.SA', 'WEGE3.SA', 'ABEV3.SA', 'EMBJ3.SA', 'HAPV3.SA', 'BBAS3.SA', 'ITUB4.SA', 'BPAC11.SA', 'TUPY3.SA', 'TAEE11.SA', 'LREN3.SA', 'PETR3.SA', 'RENT3.SA', 'CPLE3.SA', 'EGIE3.SA', 'AXIA3.SA', 'B3SA3.SA', 'NTCO3.SA', 'MGLU3.SA', 'INTB3.SA', 'KLBN11.SA', 'BBSE3.SA', 'CEAB3.SA', 'GGBR4.SA', </t>
  </si>
  <si>
    <t>AXIA3.SA</t>
  </si>
  <si>
    <t>B3SA3.SA</t>
  </si>
  <si>
    <t>BBSE3.SA</t>
  </si>
  <si>
    <t>BPAC11.SA</t>
  </si>
  <si>
    <t>CEAB3.SA</t>
  </si>
  <si>
    <t>CPLE3.SA</t>
  </si>
  <si>
    <t>EGIE3.SA</t>
  </si>
  <si>
    <t>EMBJ3.SA</t>
  </si>
  <si>
    <t>GGBR4.SA</t>
  </si>
  <si>
    <t>HAPV3.SA</t>
  </si>
  <si>
    <t>INTB3.SA</t>
  </si>
  <si>
    <t>KLBN11.SA</t>
  </si>
  <si>
    <t>MGLU3.SA</t>
  </si>
  <si>
    <t>NTCO3.SA</t>
  </si>
  <si>
    <t>NaN</t>
  </si>
  <si>
    <t>RENT3.SA</t>
  </si>
  <si>
    <t>TAEE11.SA</t>
  </si>
  <si>
    <t>TUPY3.SA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</si>
</sst>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10" fontId="1" fillId="0" borderId="0" xfId="0" applyNumberFormat="1" applyFont="1"/>
    <xf numFmtId="22" fontId="3" fillId="0" borderId="0" xfId="0" applyNumberFormat="1" applyFont="1" applyAlignment="1">
      <alignment horizontal="right" wrapText="1"/>
    </xf>
    <xf numFmtId="164" fontId="1" fillId="0" borderId="0" xfId="0" applyNumberFormat="1" applyFont="1"/>
    <xf numFmtId="3" fontId="0" fillId="0" borderId="0" xfId="0" applyNumberFormat="1"/>
    <xf numFmtId="10" fontId="0" fillId="0" borderId="0" xfId="1" applyNumberFormat="1" applyFont="1" applyBorder="1"/>
    <xf numFmtId="0" fontId="0" fillId="0" borderId="0" xfId="0" quotePrefix="1"/>
    <xf numFmtId="8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5"/>
  <sheetViews>
    <sheetView tabSelected="1" workbookViewId="0">
      <pane ySplit="1" topLeftCell="A2" activePane="bottomLeft" state="frozen"/>
      <selection pane="bottomLeft" activeCell="AF9" sqref="AF9"/>
    </sheetView>
  </sheetViews>
  <sheetFormatPr defaultColWidth="12.5703125" defaultRowHeight="15" customHeight="1" x14ac:dyDescent="0.2"/>
  <cols>
    <col min="1" max="1" width="18.85546875" customWidth="1"/>
    <col min="2" max="2" width="42.42578125" customWidth="1"/>
    <col min="3" max="26" width="18.85546875" hidden="1" customWidth="1"/>
    <col min="27" max="27" width="15.42578125" hidden="1" customWidth="1"/>
    <col min="28" max="28" width="25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>
        <v>20260303</v>
      </c>
      <c r="E1" s="1">
        <v>20260323</v>
      </c>
      <c r="F1" s="1" t="s">
        <v>3</v>
      </c>
      <c r="G1" s="1" t="s">
        <v>4</v>
      </c>
      <c r="H1" s="1" t="s">
        <v>5</v>
      </c>
      <c r="I1" s="1">
        <v>20260303</v>
      </c>
      <c r="J1" s="1">
        <v>20260323</v>
      </c>
      <c r="K1" s="1" t="s">
        <v>3</v>
      </c>
      <c r="L1" s="1" t="s">
        <v>6</v>
      </c>
      <c r="M1" s="1" t="s">
        <v>7</v>
      </c>
      <c r="N1" s="1">
        <v>20260303</v>
      </c>
      <c r="O1" s="1">
        <v>20260323</v>
      </c>
      <c r="P1" s="1" t="s">
        <v>3</v>
      </c>
      <c r="Q1" s="1" t="s">
        <v>8</v>
      </c>
      <c r="R1" s="1" t="s">
        <v>9</v>
      </c>
      <c r="S1" s="1">
        <v>20260303</v>
      </c>
      <c r="T1" s="1">
        <v>20260323</v>
      </c>
      <c r="U1" s="1" t="s">
        <v>3</v>
      </c>
      <c r="V1" s="1" t="s">
        <v>10</v>
      </c>
      <c r="W1" s="1" t="s">
        <v>11</v>
      </c>
      <c r="X1" s="1">
        <v>20260303</v>
      </c>
      <c r="Y1" s="1">
        <v>20260323</v>
      </c>
      <c r="Z1" s="1" t="s">
        <v>3</v>
      </c>
      <c r="AA1" s="1" t="s">
        <v>12</v>
      </c>
      <c r="AB1" s="1" t="s">
        <v>37</v>
      </c>
    </row>
    <row r="2" spans="1:28" ht="15.75" customHeight="1" x14ac:dyDescent="0.2">
      <c r="A2" s="6">
        <v>46084.828877314816</v>
      </c>
      <c r="B2" s="4" t="s">
        <v>42</v>
      </c>
      <c r="C2" s="4" t="s">
        <v>23</v>
      </c>
      <c r="D2">
        <f>_xlfn.XLOOKUP(C2,Cotações!$A:$A,Cotações!$D:$D,,0,)</f>
        <v>12.300000190734799</v>
      </c>
      <c r="E2">
        <f>_xlfn.XLOOKUP(C2,Cotações!$A:$A,Cotações!$E:$E,,0,)</f>
        <v>13.079999923706</v>
      </c>
      <c r="F2" s="9">
        <f>(E2-D2)/D2</f>
        <v>6.3414611453319281E-2</v>
      </c>
      <c r="G2" s="3">
        <v>30</v>
      </c>
      <c r="H2" s="4" t="s">
        <v>16</v>
      </c>
      <c r="I2">
        <f>_xlfn.XLOOKUP(H2,Cotações!$A:$A,Cotações!$D:$D,,0,)</f>
        <v>40.950000762939403</v>
      </c>
      <c r="J2">
        <f>_xlfn.XLOOKUP(H2,Cotações!$A:$A,Cotações!$E:$E,,0,)</f>
        <v>46.029998779296797</v>
      </c>
      <c r="K2" s="9">
        <f>(J2-I2)/I2</f>
        <v>0.12405367330187932</v>
      </c>
      <c r="L2" s="3">
        <v>25</v>
      </c>
      <c r="M2" s="4" t="s">
        <v>24</v>
      </c>
      <c r="N2">
        <f>_xlfn.XLOOKUP(M2,Cotações!$A:$A,Cotações!$D:$D,,0,)</f>
        <v>55.119998931884702</v>
      </c>
      <c r="O2">
        <f>_xlfn.XLOOKUP(M2,Cotações!$A:$A,Cotações!$E:$E,,0,)</f>
        <v>65.959999084472599</v>
      </c>
      <c r="P2" s="9">
        <f>(O2-N2)/N2</f>
        <v>0.19666183531649878</v>
      </c>
      <c r="Q2" s="3">
        <v>15</v>
      </c>
      <c r="R2" s="4" t="s">
        <v>53</v>
      </c>
      <c r="S2">
        <f>_xlfn.XLOOKUP(R2,Cotações!$A:$A,Cotações!$D:$D,,0,)</f>
        <v>14.3800001144409</v>
      </c>
      <c r="T2">
        <f>_xlfn.XLOOKUP(R2,Cotações!$A:$A,Cotações!$E:$E,,0,)</f>
        <v>15.3599996566772</v>
      </c>
      <c r="U2" s="9">
        <f>(T2-S2)/S2</f>
        <v>6.8150176247366634E-2</v>
      </c>
      <c r="V2" s="3">
        <v>20</v>
      </c>
      <c r="W2" s="4" t="s">
        <v>58</v>
      </c>
      <c r="X2">
        <f>_xlfn.XLOOKUP(W2,Cotações!$A:$A,Cotações!$D:$D,,0,)</f>
        <v>13.2299995422363</v>
      </c>
      <c r="Y2">
        <f>_xlfn.XLOOKUP(W2,Cotações!$A:$A,Cotações!$E:$E,,0,)</f>
        <v>14.7200002670288</v>
      </c>
      <c r="Z2" s="9">
        <f>(Y2-X2)/X2</f>
        <v>0.11262288558935517</v>
      </c>
      <c r="AA2" s="3">
        <v>10</v>
      </c>
      <c r="AB2" s="5">
        <f>(F2*G2+K2*L2+P2*Q2+U2*V2+Z2*AA2)/(G2+L2+Q2+V2+AA2)</f>
        <v>0.10442940086734927</v>
      </c>
    </row>
    <row r="3" spans="1:28" ht="15.75" customHeight="1" x14ac:dyDescent="0.2">
      <c r="A3" s="7">
        <v>46084.931076388886</v>
      </c>
      <c r="B3" s="1" t="s">
        <v>47</v>
      </c>
      <c r="C3" s="1" t="s">
        <v>18</v>
      </c>
      <c r="D3">
        <f>_xlfn.XLOOKUP(C3,Cotações!$A:$A,Cotações!$D:$D,,0,)</f>
        <v>47.400001525878899</v>
      </c>
      <c r="E3">
        <f>_xlfn.XLOOKUP(C3,Cotações!$A:$A,Cotações!$E:$E,,0,)</f>
        <v>47.25</v>
      </c>
      <c r="F3" s="9">
        <f>(E3-D3)/D3</f>
        <v>-3.1645890516902846E-3</v>
      </c>
      <c r="G3" s="1">
        <v>26.315789473684209</v>
      </c>
      <c r="H3" s="1" t="s">
        <v>16</v>
      </c>
      <c r="I3">
        <f>_xlfn.XLOOKUP(H3,Cotações!$A:$A,Cotações!$D:$D,,0,)</f>
        <v>40.950000762939403</v>
      </c>
      <c r="J3">
        <f>_xlfn.XLOOKUP(H3,Cotações!$A:$A,Cotações!$E:$E,,0,)</f>
        <v>46.029998779296797</v>
      </c>
      <c r="K3" s="9">
        <f>(J3-I3)/I3</f>
        <v>0.12405367330187932</v>
      </c>
      <c r="L3" s="1">
        <v>26.315789473684209</v>
      </c>
      <c r="M3" s="1" t="s">
        <v>19</v>
      </c>
      <c r="N3">
        <f>_xlfn.XLOOKUP(M3,Cotações!$A:$A,Cotações!$D:$D,,0,)</f>
        <v>14.9600000381469</v>
      </c>
      <c r="O3">
        <f>_xlfn.XLOOKUP(M3,Cotações!$A:$A,Cotações!$E:$E,,0,)</f>
        <v>15.6599998474121</v>
      </c>
      <c r="P3" s="9">
        <f>(O3-N3)/N3</f>
        <v>4.6791430981300307E-2</v>
      </c>
      <c r="Q3" s="1">
        <v>21.052631578947366</v>
      </c>
      <c r="R3" s="1" t="s">
        <v>24</v>
      </c>
      <c r="S3">
        <f>_xlfn.XLOOKUP(R3,Cotações!$A:$A,Cotações!$D:$D,,0,)</f>
        <v>55.119998931884702</v>
      </c>
      <c r="T3">
        <f>_xlfn.XLOOKUP(R3,Cotações!$A:$A,Cotações!$E:$E,,0,)</f>
        <v>65.959999084472599</v>
      </c>
      <c r="U3" s="9">
        <f>(T3-S3)/S3</f>
        <v>0.19666183531649878</v>
      </c>
      <c r="V3" s="1">
        <v>15.789473684210526</v>
      </c>
      <c r="W3" s="1" t="s">
        <v>61</v>
      </c>
      <c r="X3">
        <f>_xlfn.XLOOKUP(W3,Cotações!$A:$A,Cotações!$D:$D,,0,)</f>
        <v>12.0900001525878</v>
      </c>
      <c r="Y3">
        <f>_xlfn.XLOOKUP(W3,Cotações!$A:$A,Cotações!$E:$E,,0,)</f>
        <v>11.899999618530201</v>
      </c>
      <c r="Z3" s="9">
        <f>(Y3-X3)/X3</f>
        <v>-1.5715511303523916E-2</v>
      </c>
      <c r="AA3" s="1">
        <v>10.526315789473683</v>
      </c>
      <c r="AB3" s="5">
        <f>(F3*G3+K3*L3+P3*Q3+U3*V3+Z3*AA3)/(G3+L3+Q3+V3+AA3)</f>
        <v>7.1061348869399743E-2</v>
      </c>
    </row>
    <row r="4" spans="1:28" ht="15.75" customHeight="1" x14ac:dyDescent="0.2">
      <c r="A4" s="6">
        <v>46084.896134259259</v>
      </c>
      <c r="B4" s="4" t="s">
        <v>45</v>
      </c>
      <c r="C4" s="4" t="s">
        <v>15</v>
      </c>
      <c r="D4">
        <f>_xlfn.XLOOKUP(C4,Cotações!$A:$A,Cotações!$D:$D,,0,)</f>
        <v>84.480003356933594</v>
      </c>
      <c r="E4">
        <f>_xlfn.XLOOKUP(C4,Cotações!$A:$A,Cotações!$E:$E,,0,)</f>
        <v>77.489997863769503</v>
      </c>
      <c r="F4" s="9">
        <f>(E4-D4)/D4</f>
        <v>-8.2741539008123088E-2</v>
      </c>
      <c r="G4" s="3">
        <v>30</v>
      </c>
      <c r="H4" s="4" t="s">
        <v>24</v>
      </c>
      <c r="I4">
        <f>_xlfn.XLOOKUP(H4,Cotações!$A:$A,Cotações!$D:$D,,0,)</f>
        <v>55.119998931884702</v>
      </c>
      <c r="J4">
        <f>_xlfn.XLOOKUP(H4,Cotações!$A:$A,Cotações!$E:$E,,0,)</f>
        <v>65.959999084472599</v>
      </c>
      <c r="K4" s="9">
        <f>(J4-I4)/I4</f>
        <v>0.19666183531649878</v>
      </c>
      <c r="L4" s="3">
        <v>25</v>
      </c>
      <c r="M4" s="4" t="s">
        <v>16</v>
      </c>
      <c r="N4">
        <f>_xlfn.XLOOKUP(M4,Cotações!$A:$A,Cotações!$D:$D,,0,)</f>
        <v>40.950000762939403</v>
      </c>
      <c r="O4">
        <f>_xlfn.XLOOKUP(M4,Cotações!$A:$A,Cotações!$E:$E,,0,)</f>
        <v>46.029998779296797</v>
      </c>
      <c r="P4" s="9">
        <f>(O4-N4)/N4</f>
        <v>0.12405367330187932</v>
      </c>
      <c r="Q4" s="3">
        <v>25</v>
      </c>
      <c r="R4" s="4" t="s">
        <v>18</v>
      </c>
      <c r="S4">
        <f>_xlfn.XLOOKUP(R4,Cotações!$A:$A,Cotações!$D:$D,,0,)</f>
        <v>47.400001525878899</v>
      </c>
      <c r="T4">
        <f>_xlfn.XLOOKUP(R4,Cotações!$A:$A,Cotações!$E:$E,,0,)</f>
        <v>47.25</v>
      </c>
      <c r="U4" s="9">
        <f>(T4-S4)/S4</f>
        <v>-3.1645890516902846E-3</v>
      </c>
      <c r="V4" s="3">
        <v>10</v>
      </c>
      <c r="W4" s="4" t="s">
        <v>50</v>
      </c>
      <c r="X4">
        <f>_xlfn.XLOOKUP(W4,Cotações!$A:$A,Cotações!$D:$D,,0,)</f>
        <v>12.4099998474121</v>
      </c>
      <c r="Y4">
        <f>_xlfn.XLOOKUP(W4,Cotações!$A:$A,Cotações!$E:$E,,0,)</f>
        <v>12.310000419616699</v>
      </c>
      <c r="Z4" s="9">
        <f>(Y4-X4)/X4</f>
        <v>-8.0579717183682717E-3</v>
      </c>
      <c r="AA4" s="3">
        <v>10</v>
      </c>
      <c r="AB4" s="5">
        <f>(F4*G4+K4*L4+P4*Q4+U4*V4+Z4*AA4)/(G4+L4+Q4+V4+AA4)</f>
        <v>5.423415937515174E-2</v>
      </c>
    </row>
    <row r="5" spans="1:28" ht="15.75" customHeight="1" x14ac:dyDescent="0.2">
      <c r="A5" s="6">
        <v>46084.612025462964</v>
      </c>
      <c r="B5" s="4" t="s">
        <v>39</v>
      </c>
      <c r="C5" s="4" t="s">
        <v>24</v>
      </c>
      <c r="D5">
        <f>_xlfn.XLOOKUP(C5,Cotações!$A:$A,Cotações!$D:$D,,0,)</f>
        <v>55.119998931884702</v>
      </c>
      <c r="E5">
        <f>_xlfn.XLOOKUP(C5,Cotações!$A:$A,Cotações!$E:$E,,0,)</f>
        <v>65.959999084472599</v>
      </c>
      <c r="F5" s="9">
        <f>(E5-D5)/D5</f>
        <v>0.19666183531649878</v>
      </c>
      <c r="G5" s="3">
        <v>25</v>
      </c>
      <c r="H5" s="4" t="s">
        <v>49</v>
      </c>
      <c r="I5">
        <f>_xlfn.XLOOKUP(H5,Cotações!$A:$A,Cotações!$D:$D,,0,)</f>
        <v>10.0100002288818</v>
      </c>
      <c r="J5">
        <f>_xlfn.XLOOKUP(H5,Cotações!$A:$A,Cotações!$E:$E,,0,)</f>
        <v>9.4399995803833008</v>
      </c>
      <c r="K5" s="9">
        <f>(J5-I5)/I5</f>
        <v>-5.6943120426099468E-2</v>
      </c>
      <c r="L5" s="3">
        <v>25</v>
      </c>
      <c r="M5" s="4" t="s">
        <v>50</v>
      </c>
      <c r="N5">
        <f>_xlfn.XLOOKUP(M5,Cotações!$A:$A,Cotações!$D:$D,,0,)</f>
        <v>12.4099998474121</v>
      </c>
      <c r="O5">
        <f>_xlfn.XLOOKUP(M5,Cotações!$A:$A,Cotações!$E:$E,,0,)</f>
        <v>12.310000419616699</v>
      </c>
      <c r="P5" s="9">
        <f>(O5-N5)/N5</f>
        <v>-8.0579717183682717E-3</v>
      </c>
      <c r="Q5" s="3">
        <v>20</v>
      </c>
      <c r="R5" s="4" t="s">
        <v>52</v>
      </c>
      <c r="S5">
        <f>_xlfn.XLOOKUP(R5,Cotações!$A:$A,Cotações!$D:$D,,0,)</f>
        <v>57.509998321533203</v>
      </c>
      <c r="T5">
        <f>_xlfn.XLOOKUP(R5,Cotações!$A:$A,Cotações!$E:$E,,0,)</f>
        <v>55.2299995422363</v>
      </c>
      <c r="U5" s="9">
        <f>(T5-S5)/S5</f>
        <v>-3.9645259013043894E-2</v>
      </c>
      <c r="V5" s="3">
        <v>20</v>
      </c>
      <c r="W5" s="4" t="s">
        <v>18</v>
      </c>
      <c r="X5">
        <f>_xlfn.XLOOKUP(W5,Cotações!$A:$A,Cotações!$D:$D,,0,)</f>
        <v>47.400001525878899</v>
      </c>
      <c r="Y5">
        <f>_xlfn.XLOOKUP(W5,Cotações!$A:$A,Cotações!$E:$E,,0,)</f>
        <v>47.25</v>
      </c>
      <c r="Z5" s="9">
        <f>(Y5-X5)/X5</f>
        <v>-3.1645890516902846E-3</v>
      </c>
      <c r="AA5" s="3">
        <v>10</v>
      </c>
      <c r="AB5" s="5">
        <f>(F5*G5+K5*L5+P5*Q5+U5*V5+Z5*AA5)/(G5+L5+Q5+V5+AA5)</f>
        <v>2.5072573671148363E-2</v>
      </c>
    </row>
    <row r="6" spans="1:28" ht="15.75" customHeight="1" x14ac:dyDescent="0.2">
      <c r="A6" s="6">
        <v>46084.889363425929</v>
      </c>
      <c r="B6" s="4" t="s">
        <v>44</v>
      </c>
      <c r="C6" s="4" t="s">
        <v>18</v>
      </c>
      <c r="D6">
        <f>_xlfn.XLOOKUP(C6,Cotações!$A:$A,Cotações!$D:$D,,0,)</f>
        <v>47.400001525878899</v>
      </c>
      <c r="E6">
        <f>_xlfn.XLOOKUP(C6,Cotações!$A:$A,Cotações!$E:$E,,0,)</f>
        <v>47.25</v>
      </c>
      <c r="F6" s="9">
        <f>(E6-D6)/D6</f>
        <v>-3.1645890516902846E-3</v>
      </c>
      <c r="G6" s="3">
        <v>20</v>
      </c>
      <c r="H6" s="4" t="s">
        <v>14</v>
      </c>
      <c r="I6">
        <f>_xlfn.XLOOKUP(H6,Cotações!$A:$A,Cotações!$D:$D,,0,)</f>
        <v>44.380001068115199</v>
      </c>
      <c r="J6">
        <f>_xlfn.XLOOKUP(H6,Cotações!$A:$A,Cotações!$E:$E,,0,)</f>
        <v>42.779998779296797</v>
      </c>
      <c r="K6" s="9">
        <f>(J6-I6)/I6</f>
        <v>-3.6052326505416045E-2</v>
      </c>
      <c r="L6" s="3">
        <v>20</v>
      </c>
      <c r="M6" s="4" t="s">
        <v>16</v>
      </c>
      <c r="N6">
        <f>_xlfn.XLOOKUP(M6,Cotações!$A:$A,Cotações!$D:$D,,0,)</f>
        <v>40.950000762939403</v>
      </c>
      <c r="O6">
        <f>_xlfn.XLOOKUP(M6,Cotações!$A:$A,Cotações!$E:$E,,0,)</f>
        <v>46.029998779296797</v>
      </c>
      <c r="P6" s="9">
        <f>(O6-N6)/N6</f>
        <v>0.12405367330187932</v>
      </c>
      <c r="Q6" s="3">
        <v>20</v>
      </c>
      <c r="R6" s="4" t="s">
        <v>55</v>
      </c>
      <c r="S6">
        <f>_xlfn.XLOOKUP(R6,Cotações!$A:$A,Cotações!$D:$D,,0,)</f>
        <v>59.490001678466797</v>
      </c>
      <c r="T6">
        <f>_xlfn.XLOOKUP(R6,Cotações!$A:$A,Cotações!$E:$E,,0,)</f>
        <v>58.270000457763601</v>
      </c>
      <c r="U6" s="9">
        <f>(T6-S6)/S6</f>
        <v>-2.0507668285119445E-2</v>
      </c>
      <c r="V6" s="3">
        <v>20</v>
      </c>
      <c r="W6" s="4" t="s">
        <v>60</v>
      </c>
      <c r="X6">
        <f>_xlfn.XLOOKUP(W6,Cotações!$A:$A,Cotações!$D:$D,,0,)</f>
        <v>34.400001525878899</v>
      </c>
      <c r="Y6">
        <f>_xlfn.XLOOKUP(W6,Cotações!$A:$A,Cotações!$E:$E,,0,)</f>
        <v>34.650001525878899</v>
      </c>
      <c r="Z6" s="9">
        <f>(Y6-X6)/X6</f>
        <v>7.2674415381036132E-3</v>
      </c>
      <c r="AA6" s="3">
        <v>20</v>
      </c>
      <c r="AB6" s="5">
        <f>(F6*G6+K6*L6+P6*Q6+U6*V6+Z6*AA6)/(G6+L6+Q6+V6+AA6)</f>
        <v>1.4319306199551428E-2</v>
      </c>
    </row>
    <row r="7" spans="1:28" ht="15.75" customHeight="1" x14ac:dyDescent="0.2">
      <c r="A7" s="7">
        <v>46084.924398148149</v>
      </c>
      <c r="B7" s="1" t="s">
        <v>46</v>
      </c>
      <c r="C7" s="1" t="s">
        <v>17</v>
      </c>
      <c r="D7">
        <f>_xlfn.XLOOKUP(C7,Cotações!$A:$A,Cotações!$D:$D,,0,)</f>
        <v>15.569999694824199</v>
      </c>
      <c r="E7">
        <f>_xlfn.XLOOKUP(C7,Cotações!$A:$A,Cotações!$E:$E,,0,)</f>
        <v>14.6599998474121</v>
      </c>
      <c r="F7" s="9">
        <f>(E7-D7)/D7</f>
        <v>-5.8445720311388456E-2</v>
      </c>
      <c r="G7" s="1">
        <v>30</v>
      </c>
      <c r="H7" s="1" t="s">
        <v>52</v>
      </c>
      <c r="I7">
        <f>_xlfn.XLOOKUP(H7,Cotações!$A:$A,Cotações!$D:$D,,0,)</f>
        <v>57.509998321533203</v>
      </c>
      <c r="J7">
        <f>_xlfn.XLOOKUP(H7,Cotações!$A:$A,Cotações!$E:$E,,0,)</f>
        <v>55.2299995422363</v>
      </c>
      <c r="K7" s="9">
        <f>(J7-I7)/I7</f>
        <v>-3.9645259013043894E-2</v>
      </c>
      <c r="L7" s="1">
        <v>25</v>
      </c>
      <c r="M7" s="1" t="s">
        <v>14</v>
      </c>
      <c r="N7">
        <f>_xlfn.XLOOKUP(M7,Cotações!$A:$A,Cotações!$D:$D,,0,)</f>
        <v>44.380001068115199</v>
      </c>
      <c r="O7">
        <f>_xlfn.XLOOKUP(M7,Cotações!$A:$A,Cotações!$E:$E,,0,)</f>
        <v>42.779998779296797</v>
      </c>
      <c r="P7" s="9">
        <f>(O7-N7)/N7</f>
        <v>-3.6052326505416045E-2</v>
      </c>
      <c r="Q7" s="1">
        <v>20</v>
      </c>
      <c r="R7" s="1" t="s">
        <v>16</v>
      </c>
      <c r="S7">
        <f>_xlfn.XLOOKUP(R7,Cotações!$A:$A,Cotações!$D:$D,,0,)</f>
        <v>40.950000762939403</v>
      </c>
      <c r="T7">
        <f>_xlfn.XLOOKUP(R7,Cotações!$A:$A,Cotações!$E:$E,,0,)</f>
        <v>46.029998779296797</v>
      </c>
      <c r="U7" s="9">
        <f>(T7-S7)/S7</f>
        <v>0.12405367330187932</v>
      </c>
      <c r="V7" s="1">
        <v>15</v>
      </c>
      <c r="W7" s="1" t="s">
        <v>24</v>
      </c>
      <c r="X7">
        <f>_xlfn.XLOOKUP(W7,Cotações!$A:$A,Cotações!$D:$D,,0,)</f>
        <v>55.119998931884702</v>
      </c>
      <c r="Y7">
        <f>_xlfn.XLOOKUP(W7,Cotações!$A:$A,Cotações!$E:$E,,0,)</f>
        <v>65.959999084472599</v>
      </c>
      <c r="Z7" s="9">
        <f>(Y7-X7)/X7</f>
        <v>0.19666183531649878</v>
      </c>
      <c r="AA7" s="1">
        <v>10</v>
      </c>
      <c r="AB7" s="5">
        <f>(F7*G7+K7*L7+P7*Q7+U7*V7+Z7*AA7)/(G7+L7+Q7+V7+AA7)</f>
        <v>3.6187383791710559E-3</v>
      </c>
    </row>
    <row r="8" spans="1:28" ht="15.75" customHeight="1" x14ac:dyDescent="0.2">
      <c r="A8" s="6">
        <v>46084.786400462966</v>
      </c>
      <c r="B8" s="4" t="s">
        <v>40</v>
      </c>
      <c r="C8" s="4" t="s">
        <v>15</v>
      </c>
      <c r="D8">
        <f>_xlfn.XLOOKUP(C8,Cotações!$A:$A,Cotações!$D:$D,,0,)</f>
        <v>84.480003356933594</v>
      </c>
      <c r="E8">
        <f>_xlfn.XLOOKUP(C8,Cotações!$A:$A,Cotações!$E:$E,,0,)</f>
        <v>77.489997863769503</v>
      </c>
      <c r="F8" s="9">
        <f>(E8-D8)/D8</f>
        <v>-8.2741539008123088E-2</v>
      </c>
      <c r="G8" s="3">
        <v>30</v>
      </c>
      <c r="H8" s="4" t="s">
        <v>18</v>
      </c>
      <c r="I8">
        <f>_xlfn.XLOOKUP(H8,Cotações!$A:$A,Cotações!$D:$D,,0,)</f>
        <v>47.400001525878899</v>
      </c>
      <c r="J8">
        <f>_xlfn.XLOOKUP(H8,Cotações!$A:$A,Cotações!$E:$E,,0,)</f>
        <v>47.25</v>
      </c>
      <c r="K8" s="9">
        <f>(J8-I8)/I8</f>
        <v>-3.1645890516902846E-3</v>
      </c>
      <c r="L8" s="3">
        <v>30</v>
      </c>
      <c r="M8" s="4" t="s">
        <v>16</v>
      </c>
      <c r="N8">
        <f>_xlfn.XLOOKUP(M8,Cotações!$A:$A,Cotações!$D:$D,,0,)</f>
        <v>40.950000762939403</v>
      </c>
      <c r="O8">
        <f>_xlfn.XLOOKUP(M8,Cotações!$A:$A,Cotações!$E:$E,,0,)</f>
        <v>46.029998779296797</v>
      </c>
      <c r="P8" s="9">
        <f>(O8-N8)/N8</f>
        <v>0.12405367330187932</v>
      </c>
      <c r="Q8" s="3">
        <v>25</v>
      </c>
      <c r="R8" s="4" t="s">
        <v>14</v>
      </c>
      <c r="S8">
        <f>_xlfn.XLOOKUP(R8,Cotações!$A:$A,Cotações!$D:$D,,0,)</f>
        <v>44.380001068115199</v>
      </c>
      <c r="T8">
        <f>_xlfn.XLOOKUP(R8,Cotações!$A:$A,Cotações!$E:$E,,0,)</f>
        <v>42.779998779296797</v>
      </c>
      <c r="U8" s="9">
        <f>(T8-S8)/S8</f>
        <v>-3.6052326505416045E-2</v>
      </c>
      <c r="V8" s="3">
        <v>10</v>
      </c>
      <c r="W8" s="4" t="s">
        <v>50</v>
      </c>
      <c r="X8">
        <f>_xlfn.XLOOKUP(W8,Cotações!$A:$A,Cotações!$D:$D,,0,)</f>
        <v>12.4099998474121</v>
      </c>
      <c r="Y8">
        <f>_xlfn.XLOOKUP(W8,Cotações!$A:$A,Cotações!$E:$E,,0,)</f>
        <v>12.310000419616699</v>
      </c>
      <c r="Z8" s="9">
        <f>(Y8-X8)/X8</f>
        <v>-8.0579717183682717E-3</v>
      </c>
      <c r="AA8" s="3">
        <v>5</v>
      </c>
      <c r="AB8" s="5">
        <f>(F8*G8+K8*L8+P8*Q8+U8*V8+Z8*AA8)/(G8+L8+Q8+V8+AA8)</f>
        <v>1.2334486710657972E-3</v>
      </c>
    </row>
    <row r="9" spans="1:28" ht="15.75" customHeight="1" x14ac:dyDescent="0.2">
      <c r="A9" s="6">
        <v>46084.547534722224</v>
      </c>
      <c r="B9" s="4" t="s">
        <v>38</v>
      </c>
      <c r="C9" s="4" t="s">
        <v>16</v>
      </c>
      <c r="D9">
        <f>_xlfn.XLOOKUP(C9,Cotações!$A:$A,Cotações!$D:$D,,0,)</f>
        <v>40.950000762939403</v>
      </c>
      <c r="E9">
        <f>_xlfn.XLOOKUP(C9,Cotações!$A:$A,Cotações!$E:$E,,0,)</f>
        <v>46.029998779296797</v>
      </c>
      <c r="F9" s="9">
        <f>(E9-D9)/D9</f>
        <v>0.12405367330187932</v>
      </c>
      <c r="G9" s="3">
        <v>35</v>
      </c>
      <c r="H9" s="4" t="s">
        <v>48</v>
      </c>
      <c r="I9">
        <f>_xlfn.XLOOKUP(H9,Cotações!$A:$A,Cotações!$D:$D,,0,)</f>
        <v>91.709999084472599</v>
      </c>
      <c r="J9">
        <f>_xlfn.XLOOKUP(H9,Cotações!$A:$A,Cotações!$E:$E,,0,)</f>
        <v>77.360000610351506</v>
      </c>
      <c r="K9" s="9">
        <f>(J9-I9)/I9</f>
        <v>-0.15647147113046575</v>
      </c>
      <c r="L9" s="3">
        <v>20</v>
      </c>
      <c r="M9" s="4" t="s">
        <v>18</v>
      </c>
      <c r="N9">
        <f>_xlfn.XLOOKUP(M9,Cotações!$A:$A,Cotações!$D:$D,,0,)</f>
        <v>47.400001525878899</v>
      </c>
      <c r="O9">
        <f>_xlfn.XLOOKUP(M9,Cotações!$A:$A,Cotações!$E:$E,,0,)</f>
        <v>47.25</v>
      </c>
      <c r="P9" s="9">
        <f>(O9-N9)/N9</f>
        <v>-3.1645890516902846E-3</v>
      </c>
      <c r="Q9" s="3">
        <v>15</v>
      </c>
      <c r="R9" s="4" t="s">
        <v>17</v>
      </c>
      <c r="S9">
        <f>_xlfn.XLOOKUP(R9,Cotações!$A:$A,Cotações!$D:$D,,0,)</f>
        <v>15.569999694824199</v>
      </c>
      <c r="T9">
        <f>_xlfn.XLOOKUP(R9,Cotações!$A:$A,Cotações!$E:$E,,0,)</f>
        <v>14.6599998474121</v>
      </c>
      <c r="U9" s="9">
        <f>(T9-S9)/S9</f>
        <v>-5.8445720311388456E-2</v>
      </c>
      <c r="V9" s="3">
        <v>20</v>
      </c>
      <c r="W9" s="4" t="s">
        <v>52</v>
      </c>
      <c r="X9">
        <f>_xlfn.XLOOKUP(W9,Cotações!$A:$A,Cotações!$D:$D,,0,)</f>
        <v>57.509998321533203</v>
      </c>
      <c r="Y9">
        <f>_xlfn.XLOOKUP(W9,Cotações!$A:$A,Cotações!$E:$E,,0,)</f>
        <v>55.2299995422363</v>
      </c>
      <c r="Z9" s="9">
        <f>(Y9-X9)/X9</f>
        <v>-3.9645259013043894E-2</v>
      </c>
      <c r="AA9" s="3">
        <v>10</v>
      </c>
      <c r="AB9" s="5">
        <f>(F9*G9+K9*L9+P9*Q9+U9*V9+Z9*AA9)/(G9+L9+Q9+V9+AA9)</f>
        <v>-4.0038668917710164E-3</v>
      </c>
    </row>
    <row r="10" spans="1:28" ht="15.75" customHeight="1" x14ac:dyDescent="0.2">
      <c r="A10" s="6">
        <v>46084.811643518522</v>
      </c>
      <c r="B10" s="4" t="s">
        <v>41</v>
      </c>
      <c r="C10" s="4" t="s">
        <v>16</v>
      </c>
      <c r="D10">
        <f>_xlfn.XLOOKUP(C10,Cotações!$A:$A,Cotações!$D:$D,,0,)</f>
        <v>40.950000762939403</v>
      </c>
      <c r="E10">
        <f>_xlfn.XLOOKUP(C10,Cotações!$A:$A,Cotações!$E:$E,,0,)</f>
        <v>46.029998779296797</v>
      </c>
      <c r="F10" s="9">
        <f>(E10-D10)/D10</f>
        <v>0.12405367330187932</v>
      </c>
      <c r="G10" s="3">
        <v>25</v>
      </c>
      <c r="H10" s="4" t="s">
        <v>15</v>
      </c>
      <c r="I10">
        <f>_xlfn.XLOOKUP(H10,Cotações!$A:$A,Cotações!$D:$D,,0,)</f>
        <v>84.480003356933594</v>
      </c>
      <c r="J10">
        <f>_xlfn.XLOOKUP(H10,Cotações!$A:$A,Cotações!$E:$E,,0,)</f>
        <v>77.489997863769503</v>
      </c>
      <c r="K10" s="9">
        <f>(J10-I10)/I10</f>
        <v>-8.2741539008123088E-2</v>
      </c>
      <c r="L10" s="3">
        <v>31.25</v>
      </c>
      <c r="M10" s="4"/>
      <c r="N10">
        <f>_xlfn.XLOOKUP(M10,Cotações!$A:$A,Cotações!$D:$D,,0,)</f>
        <v>0</v>
      </c>
      <c r="O10">
        <f>_xlfn.XLOOKUP(M10,Cotações!$A:$A,Cotações!$E:$E,,0,)</f>
        <v>0</v>
      </c>
      <c r="P10" s="9">
        <v>0</v>
      </c>
      <c r="Q10" s="3"/>
      <c r="R10" s="4" t="s">
        <v>14</v>
      </c>
      <c r="S10">
        <f>_xlfn.XLOOKUP(R10,Cotações!$A:$A,Cotações!$D:$D,,0,)</f>
        <v>44.380001068115199</v>
      </c>
      <c r="T10">
        <f>_xlfn.XLOOKUP(R10,Cotações!$A:$A,Cotações!$E:$E,,0,)</f>
        <v>42.779998779296797</v>
      </c>
      <c r="U10" s="9">
        <f>(T10-S10)/S10</f>
        <v>-3.6052326505416045E-2</v>
      </c>
      <c r="V10" s="3">
        <v>25</v>
      </c>
      <c r="W10" s="4" t="s">
        <v>57</v>
      </c>
      <c r="X10">
        <f>_xlfn.XLOOKUP(W10,Cotações!$A:$A,Cotações!$D:$D,,0,)</f>
        <v>9</v>
      </c>
      <c r="Y10">
        <f>_xlfn.XLOOKUP(W10,Cotações!$A:$A,Cotações!$E:$E,,0,)</f>
        <v>8.7600002288818306</v>
      </c>
      <c r="Z10" s="9">
        <f>(Y10-X10)/X10</f>
        <v>-2.6666641235352156E-2</v>
      </c>
      <c r="AA10" s="3">
        <v>18.75</v>
      </c>
      <c r="AB10" s="5">
        <f>(F10*G10+K10*L10+P10*Q10+U10*V10+Z10*AA10)/(G10+L10+Q10+V10+AA10)</f>
        <v>-8.8563894725511745E-3</v>
      </c>
    </row>
    <row r="11" spans="1:28" ht="15.75" customHeight="1" x14ac:dyDescent="0.2">
      <c r="A11" s="6">
        <v>46084.85052083333</v>
      </c>
      <c r="B11" s="4" t="s">
        <v>43</v>
      </c>
      <c r="C11" s="4" t="s">
        <v>21</v>
      </c>
      <c r="D11">
        <f>_xlfn.XLOOKUP(C11,Cotações!$A:$A,Cotações!$D:$D,,0,)</f>
        <v>13.6000003814697</v>
      </c>
      <c r="E11">
        <f>_xlfn.XLOOKUP(C11,Cotações!$A:$A,Cotações!$E:$E,,0,)</f>
        <v>13.569999694824199</v>
      </c>
      <c r="F11" s="9">
        <f>(E11-D11)/D11</f>
        <v>-2.2059327797061905E-3</v>
      </c>
      <c r="G11" s="3">
        <v>30</v>
      </c>
      <c r="H11" s="4" t="s">
        <v>13</v>
      </c>
      <c r="I11">
        <f>_xlfn.XLOOKUP(H11,Cotações!$A:$A,Cotações!$D:$D,,0,)</f>
        <v>25.770000457763601</v>
      </c>
      <c r="J11">
        <f>_xlfn.XLOOKUP(H11,Cotações!$A:$A,Cotações!$E:$E,,0,)</f>
        <v>23.959999084472599</v>
      </c>
      <c r="K11" s="9">
        <f>(J11-I11)/I11</f>
        <v>-7.0236761394612671E-2</v>
      </c>
      <c r="L11" s="3">
        <v>20</v>
      </c>
      <c r="M11" s="4" t="s">
        <v>51</v>
      </c>
      <c r="N11">
        <f>_xlfn.XLOOKUP(M11,Cotações!$A:$A,Cotações!$D:$D,,0,)</f>
        <v>42.200000762939403</v>
      </c>
      <c r="O11">
        <f>_xlfn.XLOOKUP(M11,Cotações!$A:$A,Cotações!$E:$E,,0,)</f>
        <v>42.459999084472599</v>
      </c>
      <c r="P11" s="9">
        <f>(O11-N11)/N11</f>
        <v>6.1610975552761123E-3</v>
      </c>
      <c r="Q11" s="3">
        <v>15</v>
      </c>
      <c r="R11" s="4" t="s">
        <v>54</v>
      </c>
      <c r="S11">
        <f>_xlfn.XLOOKUP(R11,Cotações!$A:$A,Cotações!$D:$D,,0,)</f>
        <v>32.259998321533203</v>
      </c>
      <c r="T11">
        <f>_xlfn.XLOOKUP(R11,Cotações!$A:$A,Cotações!$E:$E,,0,)</f>
        <v>32.049999237060497</v>
      </c>
      <c r="U11" s="9">
        <f>(T11-S11)/S11</f>
        <v>-6.509581382480539E-3</v>
      </c>
      <c r="V11" s="3">
        <v>17</v>
      </c>
      <c r="W11" s="4" t="s">
        <v>59</v>
      </c>
      <c r="X11">
        <f>_xlfn.XLOOKUP(W11,Cotações!$A:$A,Cotações!$D:$D,,0,)</f>
        <v>19.879999160766602</v>
      </c>
      <c r="Y11">
        <f>_xlfn.XLOOKUP(W11,Cotações!$A:$A,Cotações!$E:$E,,0,)</f>
        <v>18.899999618530199</v>
      </c>
      <c r="Z11" s="9">
        <f>(Y11-X11)/X11</f>
        <v>-4.9295753702567689E-2</v>
      </c>
      <c r="AA11" s="3">
        <v>18</v>
      </c>
      <c r="AB11" s="5">
        <f>(F11*G11+K11*L11+P11*Q11+U11*V11+Z11*AA11)/(G11+L11+Q11+V11+AA11)</f>
        <v>-2.3764831981026847E-2</v>
      </c>
    </row>
    <row r="12" spans="1:28" ht="15.75" customHeight="1" x14ac:dyDescent="0.2">
      <c r="A12" s="7"/>
      <c r="B12" s="1"/>
      <c r="C12" s="1"/>
      <c r="D12" s="1"/>
      <c r="E12" s="1"/>
      <c r="F12" s="5"/>
      <c r="G12" s="1"/>
      <c r="H12" s="1"/>
      <c r="I12" s="1"/>
      <c r="J12" s="1"/>
      <c r="K12" s="5"/>
      <c r="L12" s="1"/>
      <c r="M12" s="1"/>
      <c r="N12" s="1"/>
      <c r="O12" s="1"/>
      <c r="P12" s="5"/>
      <c r="Q12" s="1"/>
      <c r="R12" s="1"/>
      <c r="S12" s="1"/>
      <c r="T12" s="1"/>
      <c r="U12" s="5"/>
      <c r="V12" s="1"/>
      <c r="W12" s="1"/>
      <c r="X12" s="1"/>
      <c r="Y12" s="1"/>
      <c r="Z12" s="5"/>
      <c r="AA12" s="1"/>
      <c r="AB12" s="5"/>
    </row>
    <row r="13" spans="1:28" ht="15.75" customHeight="1" x14ac:dyDescent="0.2">
      <c r="A13" s="7"/>
      <c r="B13" s="1"/>
      <c r="C13" s="1"/>
      <c r="D13" s="1"/>
      <c r="E13" s="1"/>
      <c r="F13" s="5"/>
      <c r="G13" s="1"/>
      <c r="H13" s="1"/>
      <c r="I13" s="1"/>
      <c r="J13" s="1"/>
      <c r="K13" s="5"/>
      <c r="M13" s="1"/>
      <c r="N13" s="1"/>
      <c r="O13" s="1"/>
      <c r="P13" s="5"/>
      <c r="R13" s="1"/>
      <c r="S13" s="1"/>
      <c r="T13" s="1"/>
      <c r="U13" s="5"/>
      <c r="W13" s="1"/>
      <c r="X13" s="1"/>
      <c r="Y13" s="1"/>
      <c r="Z13" s="5"/>
      <c r="AA13" s="1"/>
      <c r="AB13" s="5"/>
    </row>
    <row r="14" spans="1:28" ht="15.75" customHeight="1" x14ac:dyDescent="0.2">
      <c r="A14" s="7"/>
      <c r="B14" s="1"/>
      <c r="C14" s="1"/>
      <c r="D14" s="1"/>
      <c r="E14" s="1"/>
      <c r="F14" s="5"/>
      <c r="G14" s="1"/>
      <c r="H14" s="1"/>
      <c r="I14" s="1"/>
      <c r="J14" s="1"/>
      <c r="K14" s="5"/>
      <c r="L14" s="1"/>
      <c r="M14" s="1"/>
      <c r="N14" s="1"/>
      <c r="O14" s="1"/>
      <c r="P14" s="5"/>
      <c r="Q14" s="1"/>
      <c r="R14" s="1"/>
      <c r="S14" s="1"/>
      <c r="T14" s="1"/>
      <c r="U14" s="5"/>
      <c r="V14" s="1"/>
      <c r="W14" s="1"/>
      <c r="X14" s="1"/>
      <c r="Y14" s="1"/>
      <c r="Z14" s="5"/>
      <c r="AA14" s="1"/>
      <c r="AB14" s="5"/>
    </row>
    <row r="15" spans="1:28" ht="15.75" customHeight="1" x14ac:dyDescent="0.2">
      <c r="A15" s="7"/>
      <c r="B15" s="1"/>
      <c r="C15" s="1"/>
      <c r="D15" s="1"/>
      <c r="E15" s="1"/>
      <c r="F15" s="5"/>
      <c r="G15" s="1"/>
      <c r="H15" s="1"/>
      <c r="I15" s="1"/>
      <c r="J15" s="1"/>
      <c r="K15" s="5"/>
      <c r="L15" s="1"/>
      <c r="M15" s="1"/>
      <c r="N15" s="1"/>
      <c r="O15" s="1"/>
      <c r="P15" s="5"/>
      <c r="Q15" s="1"/>
      <c r="R15" s="1"/>
      <c r="S15" s="1"/>
      <c r="T15" s="1"/>
      <c r="U15" s="5"/>
      <c r="V15" s="1"/>
      <c r="W15" s="1"/>
      <c r="X15" s="1"/>
      <c r="Y15" s="1"/>
      <c r="Z15" s="5"/>
      <c r="AA15" s="1"/>
      <c r="AB15" s="5"/>
    </row>
    <row r="16" spans="1:28" ht="15.75" customHeight="1" x14ac:dyDescent="0.2">
      <c r="A16" s="7"/>
      <c r="B16" s="1"/>
      <c r="C16" s="1"/>
      <c r="D16" s="1"/>
      <c r="E16" s="1"/>
      <c r="F16" s="5"/>
      <c r="G16" s="1"/>
      <c r="H16" s="1"/>
      <c r="I16" s="1"/>
      <c r="J16" s="1"/>
      <c r="K16" s="5"/>
      <c r="L16" s="1"/>
      <c r="M16" s="1"/>
      <c r="N16" s="1"/>
      <c r="O16" s="1"/>
      <c r="P16" s="5"/>
      <c r="Q16" s="1"/>
      <c r="R16" s="1"/>
      <c r="S16" s="1"/>
      <c r="T16" s="1"/>
      <c r="U16" s="5"/>
      <c r="V16" s="1"/>
      <c r="W16" s="1"/>
      <c r="X16" s="1"/>
      <c r="Y16" s="1"/>
      <c r="Z16" s="5"/>
      <c r="AA16" s="1"/>
      <c r="AB16" s="5"/>
    </row>
    <row r="17" spans="1:28" ht="15.75" customHeight="1" x14ac:dyDescent="0.2">
      <c r="A17" s="7"/>
      <c r="B17" s="1"/>
      <c r="C17" s="1"/>
      <c r="D17" s="1"/>
      <c r="E17" s="1"/>
      <c r="F17" s="5"/>
      <c r="G17" s="1"/>
      <c r="H17" s="1"/>
      <c r="I17" s="1"/>
      <c r="J17" s="1"/>
      <c r="K17" s="5"/>
      <c r="L17" s="1"/>
      <c r="M17" s="1"/>
      <c r="N17" s="1"/>
      <c r="O17" s="1"/>
      <c r="P17" s="5"/>
      <c r="Q17" s="1"/>
      <c r="R17" s="1"/>
      <c r="S17" s="1"/>
      <c r="T17" s="1"/>
      <c r="U17" s="5"/>
      <c r="V17" s="1"/>
      <c r="W17" s="1"/>
      <c r="X17" s="1"/>
      <c r="Y17" s="1"/>
      <c r="Z17" s="5"/>
      <c r="AA17" s="1"/>
      <c r="AB17" s="5"/>
    </row>
    <row r="18" spans="1:28" ht="15.75" customHeight="1" x14ac:dyDescent="0.2">
      <c r="A18" s="7"/>
      <c r="B18" s="1"/>
      <c r="C18" s="1"/>
      <c r="D18" s="1"/>
      <c r="E18" s="1"/>
      <c r="F18" s="5"/>
      <c r="G18" s="1"/>
      <c r="H18" s="1"/>
      <c r="I18" s="1"/>
      <c r="J18" s="1"/>
      <c r="K18" s="5"/>
      <c r="L18" s="1"/>
      <c r="M18" s="1"/>
      <c r="N18" s="1"/>
      <c r="O18" s="1"/>
      <c r="P18" s="5"/>
      <c r="Q18" s="1"/>
      <c r="R18" s="1"/>
      <c r="S18" s="1"/>
      <c r="T18" s="1"/>
      <c r="U18" s="5"/>
      <c r="V18" s="1"/>
      <c r="W18" s="1"/>
      <c r="X18" s="1"/>
      <c r="Y18" s="1"/>
      <c r="Z18" s="5"/>
      <c r="AA18" s="1"/>
      <c r="AB18" s="5"/>
    </row>
    <row r="19" spans="1:28" ht="15.75" customHeight="1" x14ac:dyDescent="0.2">
      <c r="A19" s="7"/>
      <c r="B19" s="1"/>
      <c r="C19" s="1"/>
      <c r="D19" s="1"/>
      <c r="E19" s="1"/>
      <c r="F19" s="5"/>
      <c r="G19" s="1"/>
      <c r="H19" s="1"/>
      <c r="I19" s="1"/>
      <c r="J19" s="1"/>
      <c r="K19" s="5"/>
      <c r="L19" s="1"/>
      <c r="M19" s="1"/>
      <c r="N19" s="1"/>
      <c r="O19" s="1"/>
      <c r="P19" s="5"/>
      <c r="Q19" s="1"/>
      <c r="R19" s="1"/>
      <c r="S19" s="1"/>
      <c r="T19" s="1"/>
      <c r="U19" s="5"/>
      <c r="V19" s="1"/>
      <c r="W19" s="1"/>
      <c r="X19" s="1"/>
      <c r="Y19" s="1"/>
      <c r="Z19" s="5"/>
      <c r="AA19" s="1"/>
      <c r="AB19" s="5"/>
    </row>
    <row r="20" spans="1:28" ht="15.75" customHeight="1" x14ac:dyDescent="0.2">
      <c r="A20" s="7"/>
      <c r="B20" s="1"/>
      <c r="C20" s="1"/>
      <c r="D20" s="1"/>
      <c r="E20" s="1"/>
      <c r="F20" s="5"/>
      <c r="G20" s="1"/>
      <c r="H20" s="2"/>
      <c r="I20" s="1"/>
      <c r="J20" s="1"/>
      <c r="K20" s="5"/>
      <c r="L20" s="1"/>
      <c r="M20" s="1"/>
      <c r="N20" s="1"/>
      <c r="O20" s="1"/>
      <c r="P20" s="5"/>
      <c r="Q20" s="1"/>
      <c r="R20" s="1"/>
      <c r="S20" s="1"/>
      <c r="T20" s="1"/>
      <c r="U20" s="5"/>
      <c r="V20" s="1"/>
      <c r="W20" s="1"/>
      <c r="X20" s="1"/>
      <c r="Y20" s="1"/>
      <c r="Z20" s="5"/>
      <c r="AA20" s="1"/>
      <c r="AB20" s="5"/>
    </row>
    <row r="21" spans="1:28" ht="15.75" customHeight="1" x14ac:dyDescent="0.2">
      <c r="A21" s="7"/>
      <c r="B21" s="1"/>
      <c r="C21" s="1"/>
      <c r="D21" s="1"/>
      <c r="E21" s="1"/>
      <c r="F21" s="5"/>
      <c r="G21" s="1"/>
      <c r="H21" s="1"/>
      <c r="I21" s="1"/>
      <c r="J21" s="1"/>
      <c r="K21" s="5"/>
      <c r="L21" s="1"/>
      <c r="M21" s="1"/>
      <c r="N21" s="1"/>
      <c r="O21" s="1"/>
      <c r="P21" s="5"/>
      <c r="Q21" s="1"/>
      <c r="R21" s="1"/>
      <c r="S21" s="1"/>
      <c r="T21" s="1"/>
      <c r="U21" s="5"/>
      <c r="V21" s="1"/>
      <c r="W21" s="1"/>
      <c r="X21" s="1"/>
      <c r="Y21" s="1"/>
      <c r="Z21" s="5"/>
      <c r="AA21" s="1"/>
      <c r="AB21" s="5"/>
    </row>
    <row r="22" spans="1:28" ht="15.75" customHeight="1" x14ac:dyDescent="0.2">
      <c r="A22" s="7"/>
      <c r="B22" s="1"/>
      <c r="C22" s="1"/>
      <c r="D22" s="1"/>
      <c r="E22" s="1"/>
      <c r="F22" s="5"/>
      <c r="G22" s="1"/>
      <c r="H22" s="1"/>
      <c r="I22" s="1"/>
      <c r="J22" s="1"/>
      <c r="K22" s="5"/>
      <c r="L22" s="1"/>
      <c r="M22" s="1"/>
      <c r="N22" s="1"/>
      <c r="O22" s="1"/>
      <c r="P22" s="5"/>
      <c r="Q22" s="1"/>
      <c r="R22" s="1"/>
      <c r="S22" s="1"/>
      <c r="T22" s="1"/>
      <c r="U22" s="5"/>
      <c r="V22" s="1"/>
      <c r="W22" s="1"/>
      <c r="X22" s="1"/>
      <c r="Y22" s="1"/>
      <c r="Z22" s="5"/>
      <c r="AA22" s="1"/>
      <c r="AB22" s="5"/>
    </row>
    <row r="23" spans="1:28" ht="15.75" customHeight="1" x14ac:dyDescent="0.2">
      <c r="A23" s="7"/>
      <c r="B23" s="1"/>
      <c r="C23" s="1"/>
      <c r="D23" s="1"/>
      <c r="E23" s="1"/>
      <c r="F23" s="5"/>
      <c r="G23" s="1"/>
      <c r="H23" s="1"/>
      <c r="I23" s="1"/>
      <c r="J23" s="1"/>
      <c r="K23" s="5"/>
      <c r="L23" s="1"/>
      <c r="M23" s="1"/>
      <c r="N23" s="1"/>
      <c r="O23" s="1"/>
      <c r="P23" s="5"/>
      <c r="Q23" s="1"/>
      <c r="R23" s="1"/>
      <c r="S23" s="1"/>
      <c r="T23" s="1"/>
      <c r="U23" s="5"/>
      <c r="V23" s="1"/>
      <c r="W23" s="1"/>
      <c r="X23" s="1"/>
      <c r="Y23" s="1"/>
      <c r="Z23" s="5"/>
      <c r="AA23" s="1"/>
      <c r="AB23" s="5"/>
    </row>
    <row r="24" spans="1:28" ht="15.75" customHeight="1" x14ac:dyDescent="0.2"/>
    <row r="25" spans="1:28" ht="15.75" customHeight="1" x14ac:dyDescent="0.2"/>
    <row r="26" spans="1:28" ht="15.75" customHeight="1" x14ac:dyDescent="0.2"/>
    <row r="27" spans="1:28" ht="15.75" customHeight="1" x14ac:dyDescent="0.2"/>
    <row r="28" spans="1:28" ht="15.75" customHeight="1" x14ac:dyDescent="0.2"/>
    <row r="29" spans="1:28" ht="15.75" customHeight="1" x14ac:dyDescent="0.2"/>
    <row r="30" spans="1:28" ht="15.75" customHeight="1" x14ac:dyDescent="0.2"/>
    <row r="31" spans="1:28" ht="15.75" customHeight="1" x14ac:dyDescent="0.2"/>
    <row r="32" spans="1:2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autoFilter ref="A1:AB11" xr:uid="{00000000-0001-0000-0000-000000000000}">
    <sortState xmlns:xlrd2="http://schemas.microsoft.com/office/spreadsheetml/2017/richdata2" ref="A2:AB11">
      <sortCondition descending="1" ref="AB1:AB11"/>
    </sortState>
  </autoFilter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7"/>
  <sheetViews>
    <sheetView workbookViewId="0">
      <selection activeCell="F1" sqref="F1:F29"/>
    </sheetView>
  </sheetViews>
  <sheetFormatPr defaultColWidth="12.5703125" defaultRowHeight="15" customHeight="1" x14ac:dyDescent="0.2"/>
  <cols>
    <col min="1" max="2" width="8.5703125" customWidth="1"/>
    <col min="3" max="3" width="10.140625" customWidth="1"/>
    <col min="4" max="4" width="15.42578125" style="11" bestFit="1" customWidth="1"/>
    <col min="5" max="5" width="12" bestFit="1" customWidth="1"/>
    <col min="6" max="6" width="17" style="11" customWidth="1"/>
    <col min="7" max="7" width="10.140625" bestFit="1" customWidth="1"/>
    <col min="8" max="8" width="15.42578125" bestFit="1" customWidth="1"/>
    <col min="9" max="25" width="8.5703125" customWidth="1"/>
  </cols>
  <sheetData>
    <row r="1" spans="1:6" ht="12.75" customHeight="1" x14ac:dyDescent="0.2">
      <c r="A1" s="2" t="s">
        <v>22</v>
      </c>
      <c r="C1" t="s">
        <v>25</v>
      </c>
      <c r="D1" s="12">
        <v>46084</v>
      </c>
      <c r="E1" s="13">
        <v>46104</v>
      </c>
      <c r="F1" s="13"/>
    </row>
    <row r="2" spans="1:6" ht="12.75" customHeight="1" x14ac:dyDescent="0.2">
      <c r="A2" s="1" t="s">
        <v>17</v>
      </c>
      <c r="B2" s="1" t="str">
        <f>"'"&amp;A2&amp;".SA"&amp;"', "</f>
        <v xml:space="preserve">'ABEV3.SA', </v>
      </c>
      <c r="C2" t="s">
        <v>26</v>
      </c>
      <c r="D2" s="11">
        <v>15.569999694824199</v>
      </c>
      <c r="E2" s="11">
        <v>14.6599998474121</v>
      </c>
    </row>
    <row r="3" spans="1:6" ht="12.75" customHeight="1" x14ac:dyDescent="0.2">
      <c r="A3" t="s">
        <v>55</v>
      </c>
      <c r="B3" s="1" t="str">
        <f>"'"&amp;A3&amp;".SA"&amp;"', "</f>
        <v xml:space="preserve">'AXIA3.SA', </v>
      </c>
      <c r="C3" s="8" t="s">
        <v>66</v>
      </c>
      <c r="D3" s="11">
        <v>59.490001678466797</v>
      </c>
      <c r="E3" s="11">
        <v>58.270000457763601</v>
      </c>
    </row>
    <row r="4" spans="1:6" ht="12.75" customHeight="1" x14ac:dyDescent="0.2">
      <c r="A4" t="s">
        <v>56</v>
      </c>
      <c r="B4" s="1" t="str">
        <f>"'"&amp;A4&amp;".SA"&amp;"', "</f>
        <v xml:space="preserve">'B3SA3.SA', </v>
      </c>
      <c r="C4" t="s">
        <v>67</v>
      </c>
      <c r="D4" s="11">
        <v>17.540000915527301</v>
      </c>
      <c r="E4" s="11">
        <v>17.2600002288818</v>
      </c>
    </row>
    <row r="5" spans="1:6" ht="12.75" customHeight="1" x14ac:dyDescent="0.2">
      <c r="A5" s="1" t="s">
        <v>13</v>
      </c>
      <c r="B5" s="1" t="str">
        <f>"'"&amp;A5&amp;".SA"&amp;"', "</f>
        <v xml:space="preserve">'BBAS3.SA', </v>
      </c>
      <c r="C5" t="s">
        <v>27</v>
      </c>
      <c r="D5" s="11">
        <v>25.770000457763601</v>
      </c>
      <c r="E5" s="11">
        <v>23.959999084472599</v>
      </c>
    </row>
    <row r="6" spans="1:6" ht="12.75" customHeight="1" x14ac:dyDescent="0.2">
      <c r="A6" t="s">
        <v>60</v>
      </c>
      <c r="B6" s="1" t="str">
        <f>"'"&amp;A6&amp;".SA"&amp;"', "</f>
        <v xml:space="preserve">'BBSE3.SA', </v>
      </c>
      <c r="C6" t="s">
        <v>68</v>
      </c>
      <c r="D6" s="11">
        <v>34.400001525878899</v>
      </c>
      <c r="E6" s="11">
        <v>34.650001525878899</v>
      </c>
    </row>
    <row r="7" spans="1:6" ht="12.75" customHeight="1" x14ac:dyDescent="0.2">
      <c r="A7" s="1" t="s">
        <v>52</v>
      </c>
      <c r="B7" s="1" t="str">
        <f>"'"&amp;A7&amp;".SA"&amp;"', "</f>
        <v xml:space="preserve">'BPAC11.SA', </v>
      </c>
      <c r="C7" t="s">
        <v>69</v>
      </c>
      <c r="D7" s="11">
        <v>57.509998321533203</v>
      </c>
      <c r="E7" s="11">
        <v>55.2299995422363</v>
      </c>
    </row>
    <row r="8" spans="1:6" ht="12.75" customHeight="1" x14ac:dyDescent="0.2">
      <c r="A8" t="s">
        <v>61</v>
      </c>
      <c r="B8" s="1" t="str">
        <f>"'"&amp;A8&amp;".SA"&amp;"', "</f>
        <v xml:space="preserve">'CEAB3.SA', </v>
      </c>
      <c r="C8" t="s">
        <v>70</v>
      </c>
      <c r="D8" s="11">
        <v>12.0900001525878</v>
      </c>
      <c r="E8" s="11">
        <v>11.899999618530201</v>
      </c>
    </row>
    <row r="9" spans="1:6" ht="12.75" customHeight="1" x14ac:dyDescent="0.2">
      <c r="A9" t="s">
        <v>53</v>
      </c>
      <c r="B9" s="1" t="str">
        <f>"'"&amp;A9&amp;".SA"&amp;"', "</f>
        <v xml:space="preserve">'CPLE3.SA', </v>
      </c>
      <c r="C9" t="s">
        <v>71</v>
      </c>
      <c r="D9" s="11">
        <v>14.3800001144409</v>
      </c>
      <c r="E9" s="11">
        <v>15.3599996566772</v>
      </c>
    </row>
    <row r="10" spans="1:6" ht="12.75" customHeight="1" x14ac:dyDescent="0.2">
      <c r="A10" t="s">
        <v>54</v>
      </c>
      <c r="B10" s="1" t="str">
        <f>"'"&amp;A10&amp;".SA"&amp;"', "</f>
        <v xml:space="preserve">'EGIE3.SA', </v>
      </c>
      <c r="C10" t="s">
        <v>72</v>
      </c>
      <c r="D10" s="11">
        <v>32.259998321533203</v>
      </c>
      <c r="E10" s="11">
        <v>32.049999237060497</v>
      </c>
    </row>
    <row r="11" spans="1:6" ht="12.75" customHeight="1" x14ac:dyDescent="0.2">
      <c r="A11" s="1" t="s">
        <v>48</v>
      </c>
      <c r="B11" s="1" t="str">
        <f>"'"&amp;A11&amp;".SA"&amp;"', "</f>
        <v xml:space="preserve">'EMBJ3.SA', </v>
      </c>
      <c r="C11" t="s">
        <v>73</v>
      </c>
      <c r="D11" s="11">
        <v>91.709999084472599</v>
      </c>
      <c r="E11" s="11">
        <v>77.360000610351506</v>
      </c>
    </row>
    <row r="12" spans="1:6" ht="12.75" customHeight="1" x14ac:dyDescent="0.2">
      <c r="A12" t="s">
        <v>64</v>
      </c>
      <c r="B12" s="1" t="str">
        <f>"'"&amp;A12&amp;".SA"&amp;"', "</f>
        <v xml:space="preserve">'GGBR4.SA', </v>
      </c>
      <c r="C12" t="s">
        <v>74</v>
      </c>
      <c r="D12" s="11">
        <v>19.75</v>
      </c>
      <c r="E12" s="11">
        <v>18</v>
      </c>
    </row>
    <row r="13" spans="1:6" ht="12.75" customHeight="1" x14ac:dyDescent="0.2">
      <c r="A13" s="1" t="s">
        <v>49</v>
      </c>
      <c r="B13" s="1" t="str">
        <f>"'"&amp;A13&amp;".SA"&amp;"', "</f>
        <v xml:space="preserve">'HAPV3.SA', </v>
      </c>
      <c r="C13" t="s">
        <v>75</v>
      </c>
      <c r="D13" s="11">
        <v>10.0100002288818</v>
      </c>
      <c r="E13" s="11">
        <v>9.4399995803833008</v>
      </c>
    </row>
    <row r="14" spans="1:6" ht="12.75" customHeight="1" x14ac:dyDescent="0.2">
      <c r="A14" t="s">
        <v>58</v>
      </c>
      <c r="B14" s="1" t="str">
        <f>"'"&amp;A14&amp;".SA"&amp;"', "</f>
        <v xml:space="preserve">'INTB3.SA', </v>
      </c>
      <c r="C14" t="s">
        <v>76</v>
      </c>
      <c r="D14" s="11">
        <v>13.2299995422363</v>
      </c>
      <c r="E14" s="11">
        <v>14.7200002670288</v>
      </c>
    </row>
    <row r="15" spans="1:6" ht="12.75" customHeight="1" x14ac:dyDescent="0.2">
      <c r="A15" s="1" t="s">
        <v>21</v>
      </c>
      <c r="B15" s="1" t="str">
        <f>"'"&amp;A15&amp;".SA"&amp;"', "</f>
        <v xml:space="preserve">'ITSA4.SA', </v>
      </c>
      <c r="C15" t="s">
        <v>28</v>
      </c>
      <c r="D15" s="11">
        <v>13.6000003814697</v>
      </c>
      <c r="E15" s="11">
        <v>13.569999694824199</v>
      </c>
    </row>
    <row r="16" spans="1:6" ht="12.75" customHeight="1" x14ac:dyDescent="0.2">
      <c r="A16" s="1" t="s">
        <v>14</v>
      </c>
      <c r="B16" s="1" t="str">
        <f>"'"&amp;A16&amp;".SA"&amp;"', "</f>
        <v xml:space="preserve">'ITUB4.SA', </v>
      </c>
      <c r="C16" t="s">
        <v>29</v>
      </c>
      <c r="D16" s="11">
        <v>44.380001068115199</v>
      </c>
      <c r="E16" s="11">
        <v>42.779998779296797</v>
      </c>
    </row>
    <row r="17" spans="1:5" ht="12.75" customHeight="1" x14ac:dyDescent="0.2">
      <c r="A17" t="s">
        <v>59</v>
      </c>
      <c r="B17" s="1" t="str">
        <f>"'"&amp;A17&amp;".SA"&amp;"', "</f>
        <v xml:space="preserve">'KLBN11.SA', </v>
      </c>
      <c r="C17" t="s">
        <v>77</v>
      </c>
      <c r="D17" s="11">
        <v>19.879999160766602</v>
      </c>
      <c r="E17" s="11">
        <v>18.899999618530199</v>
      </c>
    </row>
    <row r="18" spans="1:5" ht="12.75" customHeight="1" x14ac:dyDescent="0.2">
      <c r="A18" t="s">
        <v>19</v>
      </c>
      <c r="B18" s="1" t="str">
        <f>"'"&amp;A18&amp;".SA"&amp;"', "</f>
        <v xml:space="preserve">'LREN3.SA', </v>
      </c>
      <c r="C18" t="s">
        <v>30</v>
      </c>
      <c r="D18" s="11">
        <v>14.9600000381469</v>
      </c>
      <c r="E18" s="11">
        <v>15.6599998474121</v>
      </c>
    </row>
    <row r="19" spans="1:5" ht="12.75" customHeight="1" x14ac:dyDescent="0.2">
      <c r="A19" t="s">
        <v>57</v>
      </c>
      <c r="B19" s="1" t="str">
        <f>"'"&amp;A19&amp;".SA"&amp;"', "</f>
        <v xml:space="preserve">'MGLU3.SA', </v>
      </c>
      <c r="C19" t="s">
        <v>78</v>
      </c>
      <c r="D19" s="11">
        <v>9</v>
      </c>
      <c r="E19" s="11">
        <v>8.7600002288818306</v>
      </c>
    </row>
    <row r="20" spans="1:5" ht="12.75" customHeight="1" x14ac:dyDescent="0.2">
      <c r="A20" t="s">
        <v>63</v>
      </c>
      <c r="B20" s="1" t="str">
        <f>"'"&amp;A20&amp;".SA"&amp;"', "</f>
        <v xml:space="preserve">'NTCO3.SA', </v>
      </c>
      <c r="C20" t="s">
        <v>79</v>
      </c>
      <c r="D20" s="11" t="s">
        <v>80</v>
      </c>
      <c r="E20" s="11" t="s">
        <v>80</v>
      </c>
    </row>
    <row r="21" spans="1:5" ht="12.75" customHeight="1" x14ac:dyDescent="0.2">
      <c r="A21" t="s">
        <v>20</v>
      </c>
      <c r="B21" s="1" t="str">
        <f>"'"&amp;A21&amp;".SA"&amp;"', "</f>
        <v xml:space="preserve">'PETR3.SA', </v>
      </c>
      <c r="C21" t="s">
        <v>31</v>
      </c>
      <c r="D21" s="11">
        <v>44.380001068115199</v>
      </c>
      <c r="E21" s="11">
        <v>50.680000305175703</v>
      </c>
    </row>
    <row r="22" spans="1:5" ht="12.75" customHeight="1" x14ac:dyDescent="0.2">
      <c r="A22" s="1" t="s">
        <v>16</v>
      </c>
      <c r="B22" s="1" t="str">
        <f>"'"&amp;A22&amp;".SA"&amp;"', "</f>
        <v xml:space="preserve">'PETR4.SA', </v>
      </c>
      <c r="C22" t="s">
        <v>32</v>
      </c>
      <c r="D22" s="11">
        <v>40.950000762939403</v>
      </c>
      <c r="E22" s="11">
        <v>46.029998779296797</v>
      </c>
    </row>
    <row r="23" spans="1:5" ht="12.75" customHeight="1" x14ac:dyDescent="0.2">
      <c r="A23" s="1" t="s">
        <v>24</v>
      </c>
      <c r="B23" s="1" t="str">
        <f>"'"&amp;A23&amp;".SA"&amp;"', "</f>
        <v xml:space="preserve">'PRIO3.SA', </v>
      </c>
      <c r="C23" t="s">
        <v>33</v>
      </c>
      <c r="D23" s="11">
        <v>55.119998931884702</v>
      </c>
      <c r="E23" s="11">
        <v>65.959999084472599</v>
      </c>
    </row>
    <row r="24" spans="1:5" ht="12.75" customHeight="1" x14ac:dyDescent="0.2">
      <c r="A24" s="1" t="s">
        <v>23</v>
      </c>
      <c r="B24" s="1" t="str">
        <f>"'"&amp;A24&amp;".SA"&amp;"', "</f>
        <v xml:space="preserve">'RECV3.SA', </v>
      </c>
      <c r="C24" t="s">
        <v>34</v>
      </c>
      <c r="D24" s="11">
        <v>12.300000190734799</v>
      </c>
      <c r="E24" s="11">
        <v>13.079999923706</v>
      </c>
    </row>
    <row r="25" spans="1:5" ht="12.75" customHeight="1" x14ac:dyDescent="0.2">
      <c r="A25" t="s">
        <v>62</v>
      </c>
      <c r="B25" s="1" t="str">
        <f>"'"&amp;A25&amp;".SA"&amp;"', "</f>
        <v xml:space="preserve">'RENT3.SA', </v>
      </c>
      <c r="C25" t="s">
        <v>81</v>
      </c>
      <c r="D25" s="11">
        <v>48.900001525878899</v>
      </c>
      <c r="E25" s="11">
        <v>47.040000915527301</v>
      </c>
    </row>
    <row r="26" spans="1:5" ht="12.75" customHeight="1" x14ac:dyDescent="0.2">
      <c r="A26" t="s">
        <v>51</v>
      </c>
      <c r="B26" s="1" t="str">
        <f>"'"&amp;A26&amp;".SA"&amp;"', "</f>
        <v xml:space="preserve">'TAEE11.SA', </v>
      </c>
      <c r="C26" t="s">
        <v>82</v>
      </c>
      <c r="D26" s="11">
        <v>42.200000762939403</v>
      </c>
      <c r="E26" s="11">
        <v>42.459999084472599</v>
      </c>
    </row>
    <row r="27" spans="1:5" ht="12.75" customHeight="1" x14ac:dyDescent="0.2">
      <c r="A27" t="s">
        <v>50</v>
      </c>
      <c r="B27" s="1" t="str">
        <f>"'"&amp;A27&amp;".SA"&amp;"', "</f>
        <v xml:space="preserve">'TUPY3.SA', </v>
      </c>
      <c r="C27" t="s">
        <v>83</v>
      </c>
      <c r="D27" s="11">
        <v>12.4099998474121</v>
      </c>
      <c r="E27" s="11">
        <v>12.310000419616699</v>
      </c>
    </row>
    <row r="28" spans="1:5" ht="12.75" customHeight="1" x14ac:dyDescent="0.2">
      <c r="A28" s="1" t="s">
        <v>15</v>
      </c>
      <c r="B28" s="1" t="str">
        <f>"'"&amp;A28&amp;".SA"&amp;"', "</f>
        <v xml:space="preserve">'VALE3.SA', </v>
      </c>
      <c r="C28" t="s">
        <v>35</v>
      </c>
      <c r="D28" s="11">
        <v>84.480003356933594</v>
      </c>
      <c r="E28" s="11">
        <v>77.489997863769503</v>
      </c>
    </row>
    <row r="29" spans="1:5" ht="12.75" customHeight="1" x14ac:dyDescent="0.2">
      <c r="A29" s="1" t="s">
        <v>18</v>
      </c>
      <c r="B29" s="1" t="str">
        <f>"'"&amp;A29&amp;".SA"&amp;"', "</f>
        <v xml:space="preserve">'WEGE3.SA', </v>
      </c>
      <c r="C29" t="s">
        <v>36</v>
      </c>
      <c r="D29" s="11">
        <v>47.400001525878899</v>
      </c>
      <c r="E29" s="11">
        <v>47.25</v>
      </c>
    </row>
    <row r="30" spans="1:5" ht="12.75" customHeight="1" x14ac:dyDescent="0.2">
      <c r="A30" s="1"/>
      <c r="B30" s="1"/>
    </row>
    <row r="31" spans="1:5" ht="12.75" customHeight="1" x14ac:dyDescent="0.2">
      <c r="A31" s="1"/>
      <c r="B31" s="1"/>
    </row>
    <row r="32" spans="1:5" ht="12.75" customHeight="1" x14ac:dyDescent="0.2"/>
    <row r="33" spans="3:3" ht="12.75" customHeight="1" x14ac:dyDescent="0.2">
      <c r="C33" t="str">
        <f>_xlfn.CONCAT(B4:B31)</f>
        <v xml:space="preserve">'B3SA3.SA', 'BBAS3.SA', 'BBSE3.SA', 'BPAC11.SA', 'CEAB3.SA', 'CPLE3.SA', 'EGIE3.SA', 'EMBJ3.SA', 'GGBR4.SA', 'HAPV3.SA', 'INTB3.SA', 'ITSA4.SA', 'ITUB4.SA', 'KLBN11.SA', 'LREN3.SA', 'MGLU3.SA', 'NTCO3.SA', 'PETR3.SA', 'PETR4.SA', 'PRIO3.SA', 'RECV3.SA', 'RENT3.SA', 'TAEE11.SA', 'TUPY3.SA', 'VALE3.SA', 'WEGE3.SA', </v>
      </c>
    </row>
    <row r="34" spans="3:3" ht="12.75" customHeight="1" x14ac:dyDescent="0.2">
      <c r="C34" s="10" t="s">
        <v>65</v>
      </c>
    </row>
    <row r="35" spans="3:3" ht="12.75" customHeight="1" x14ac:dyDescent="0.2"/>
    <row r="36" spans="3:3" ht="12.75" customHeight="1" x14ac:dyDescent="0.2"/>
    <row r="37" spans="3:3" ht="12.75" customHeight="1" x14ac:dyDescent="0.2"/>
    <row r="38" spans="3:3" ht="12.75" customHeight="1" x14ac:dyDescent="0.2"/>
    <row r="39" spans="3:3" ht="12.75" customHeight="1" x14ac:dyDescent="0.2"/>
    <row r="40" spans="3:3" ht="12.75" customHeight="1" x14ac:dyDescent="0.2"/>
    <row r="41" spans="3:3" ht="12.75" customHeight="1" x14ac:dyDescent="0.2"/>
    <row r="42" spans="3:3" ht="12.75" customHeight="1" x14ac:dyDescent="0.2"/>
    <row r="43" spans="3:3" ht="12.75" customHeight="1" x14ac:dyDescent="0.2"/>
    <row r="44" spans="3:3" ht="12.75" customHeight="1" x14ac:dyDescent="0.2"/>
    <row r="45" spans="3:3" ht="12.75" customHeight="1" x14ac:dyDescent="0.2"/>
    <row r="46" spans="3:3" ht="12.75" customHeight="1" x14ac:dyDescent="0.2"/>
    <row r="47" spans="3:3" ht="12.75" customHeight="1" x14ac:dyDescent="0.2"/>
    <row r="48" spans="3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 ao formulário 1</vt:lpstr>
      <vt:lpstr>Cotações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PEDRO VITOR DE BARBA</cp:lastModifiedBy>
  <dcterms:created xsi:type="dcterms:W3CDTF">2025-09-29T01:23:14Z</dcterms:created>
  <dcterms:modified xsi:type="dcterms:W3CDTF">2026-04-21T14:58:10Z</dcterms:modified>
</cp:coreProperties>
</file>